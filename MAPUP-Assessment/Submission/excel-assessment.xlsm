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ekal\OneDrive\Desktop\MapUp-Data-Assessment-F-main\MapUp-Data-Assessment-F-main\"/>
    </mc:Choice>
  </mc:AlternateContent>
  <xr:revisionPtr revIDLastSave="0" documentId="13_ncr:1_{AA04DAD9-76C2-4070-AB1F-E3E0E7F217EF}" xr6:coauthVersionLast="47" xr6:coauthVersionMax="47" xr10:uidLastSave="{00000000-0000-0000-0000-000000000000}"/>
  <bookViews>
    <workbookView xWindow="-110" yWindow="-110" windowWidth="19420" windowHeight="10300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F30" i="18"/>
  <c r="F29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B30" i="18"/>
  <c r="E30" i="18"/>
  <c r="E29" i="18"/>
  <c r="E28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30" i="18"/>
  <c r="D29" i="18"/>
  <c r="D28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30" i="18"/>
  <c r="C29" i="18"/>
  <c r="C28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5" i="15"/>
  <c r="H42" i="1"/>
  <c r="B28" i="18" l="1"/>
  <c r="B29" i="18"/>
</calcChain>
</file>

<file path=xl/sharedStrings.xml><?xml version="1.0" encoding="utf-8"?>
<sst xmlns="http://schemas.openxmlformats.org/spreadsheetml/2006/main" count="411" uniqueCount="188">
  <si>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</si>
  <si>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</si>
  <si>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</si>
  <si>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</si>
  <si>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</si>
  <si>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</si>
  <si>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</si>
  <si>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</si>
  <si>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</si>
  <si>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</si>
  <si>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</si>
  <si>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</si>
  <si>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</si>
  <si>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</si>
  <si>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</si>
  <si>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</si>
  <si>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</si>
  <si>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</si>
  <si>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</si>
  <si>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</si>
  <si>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</si>
  <si>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</si>
  <si>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</si>
  <si>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</si>
  <si>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</si>
  <si>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</si>
  <si>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</si>
  <si>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</si>
  <si>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</si>
  <si>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</si>
  <si>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</si>
  <si>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</si>
  <si>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</si>
  <si>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</si>
  <si>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</si>
  <si>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</si>
  <si>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</si>
  <si>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</si>
  <si>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</si>
  <si>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</si>
  <si>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</si>
  <si>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</si>
  <si>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</si>
  <si>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</si>
  <si>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</si>
  <si>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</si>
  <si>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</si>
  <si>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</si>
  <si>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</si>
  <si>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</si>
  <si>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</si>
  <si>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</si>
  <si>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</si>
  <si>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</si>
  <si>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</si>
  <si>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</si>
  <si>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</si>
  <si>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</si>
  <si>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</si>
  <si>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</si>
  <si>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</si>
  <si>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</si>
  <si>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</si>
  <si>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</si>
  <si>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</si>
  <si>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</si>
  <si>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</si>
  <si>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</si>
  <si>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</si>
  <si>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</si>
  <si>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</si>
  <si>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</si>
  <si>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</si>
  <si>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</si>
  <si>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</si>
  <si>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</si>
  <si>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</si>
  <si>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</si>
  <si>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</si>
  <si>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</si>
  <si>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</si>
  <si>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</si>
  <si>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</si>
  <si>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</si>
  <si>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</si>
  <si>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</si>
  <si>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</si>
  <si>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</si>
  <si>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</si>
  <si>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</si>
  <si>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</si>
  <si>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</si>
  <si>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</si>
  <si>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</si>
  <si>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</si>
  <si>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</si>
  <si>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</si>
  <si>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</si>
  <si>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</si>
  <si>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</si>
  <si>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</si>
  <si>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</si>
  <si>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</si>
  <si>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</si>
  <si>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</si>
  <si>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</si>
  <si>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</si>
  <si>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</si>
  <si>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</si>
  <si>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</si>
  <si>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</si>
  <si>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</si>
  <si>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</si>
  <si>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</si>
  <si>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</si>
  <si>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</si>
  <si>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</si>
  <si>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</si>
  <si>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</si>
  <si>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</si>
  <si>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</si>
  <si>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</si>
  <si>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</si>
  <si>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</si>
  <si>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</si>
  <si>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</si>
  <si>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</si>
  <si>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</si>
  <si>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</si>
  <si>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</si>
  <si>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</si>
  <si>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</si>
  <si>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</si>
  <si>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</si>
  <si>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</si>
  <si>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</si>
  <si>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</si>
  <si>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</si>
  <si>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</si>
  <si>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</si>
  <si>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</si>
  <si>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</si>
  <si>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</si>
  <si>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</si>
  <si>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</si>
  <si>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</si>
  <si>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</si>
  <si>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</si>
  <si>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</si>
  <si>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</si>
  <si>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</si>
  <si>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</si>
  <si>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</si>
  <si>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</si>
  <si>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</si>
  <si>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</si>
  <si>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</si>
  <si>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</si>
  <si>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</si>
  <si>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</si>
  <si>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</si>
  <si>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</si>
  <si>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</si>
  <si>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</si>
  <si>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</si>
  <si>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</si>
  <si>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</si>
  <si>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</si>
  <si>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</si>
  <si>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</si>
  <si>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</si>
  <si>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</si>
  <si>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</si>
  <si>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</si>
  <si>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</si>
  <si>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</si>
  <si>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dates</t>
  </si>
  <si>
    <t>Text to column</t>
  </si>
  <si>
    <t>Used Text to Column to separate by Deliminator -</t>
  </si>
  <si>
    <t>INDEX(Table_A, MATCH(INDEX(Table_C, ROW(), 1), Table_A, 0), MATCH(INDEX(Table_C, ROW(), 2), Table_A, 0))</t>
  </si>
  <si>
    <r>
      <t>1. INDEX(Table_C, ROW(), 1)</t>
    </r>
    <r>
      <rPr>
        <sz val="10"/>
        <color theme="1"/>
        <rFont val="Cambria"/>
        <family val="1"/>
      </rPr>
      <t xml:space="preserve"> retrieves the value in the first column of Table_C for the current row.</t>
    </r>
  </si>
  <si>
    <r>
      <t>2. INDEX(Table_C, ROW(), 2)</t>
    </r>
    <r>
      <rPr>
        <sz val="10"/>
        <color theme="1"/>
        <rFont val="Cambria"/>
        <family val="1"/>
      </rPr>
      <t xml:space="preserve"> retrieves the value in the second column of Table_C for the current row.</t>
    </r>
  </si>
  <si>
    <r>
      <t>3. MATCH(..., Table_A, 0)</t>
    </r>
    <r>
      <rPr>
        <sz val="10"/>
        <color theme="1"/>
        <rFont val="Cambria"/>
        <family val="1"/>
      </rPr>
      <t xml:space="preserve"> is used to find the position of the values obtained in steps 1 and 2 within Table_A.</t>
    </r>
  </si>
  <si>
    <r>
      <t xml:space="preserve">4. The </t>
    </r>
    <r>
      <rPr>
        <sz val="10"/>
        <color theme="1"/>
        <rFont val="Cambria"/>
        <family val="1"/>
      </rPr>
      <t>INDEX(Table_A, ..., ...)</t>
    </r>
    <r>
      <rPr>
        <sz val="10"/>
        <color theme="1"/>
        <rFont val="Cambria"/>
        <family val="1"/>
      </rPr>
      <t xml:space="preserve"> function is then used to retrieve the corresponding values from Table_A based on the positions obtained in step 3.</t>
    </r>
  </si>
  <si>
    <t>Sum(IF(ISNA(C12:C21),20,C12:C21))</t>
  </si>
  <si>
    <r>
      <t>1. ISNA(C12:C21)</t>
    </r>
    <r>
      <rPr>
        <sz val="11"/>
        <color theme="1"/>
        <rFont val="Cambria"/>
        <family val="1"/>
      </rPr>
      <t>: This part of the formula checks for each cell in the range C12:C21 (which contains the sales data) whether it is #N/A or not. It returns an array of TRUE for #N/A cells and FALSE for other cells.</t>
    </r>
  </si>
  <si>
    <r>
      <t>2. IF(ISNA(C12:C21), 20, C12:C21)</t>
    </r>
    <r>
      <rPr>
        <sz val="11"/>
        <color theme="1"/>
        <rFont val="Cambria"/>
        <family val="1"/>
      </rPr>
      <t>: This part uses the array obtained from the ISNA function. If a cell is #N/A (TRUE), it substitutes it with '20'; otherwise, it keeps the original value.</t>
    </r>
  </si>
  <si>
    <r>
      <t>3. SUM(IF(ISNA(C12:C21), 20, C12:C21))</t>
    </r>
    <r>
      <rPr>
        <sz val="11"/>
        <color theme="1"/>
        <rFont val="Cambria"/>
        <family val="1"/>
      </rPr>
      <t xml:space="preserve">: Finally, the SUM function adds up all the values in the modified array, giving you the sum of sales with #N/A values substituted by '20'.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</si>
</sst>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  <xf numFmtId="0" fontId="19" fillId="0" borderId="0" xfId="6" applyFont="1"/>
    <xf numFmtId="0" fontId="2" fillId="0" borderId="0" xfId="6"/>
    <xf numFmtId="0" fontId="20" fillId="0" borderId="0" xfId="6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5" x14ac:dyDescent="0.35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" activePane="bottomLeft" state="frozen"/>
      <selection pane="bottomLeft" activeCell="G2" sqref="G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7" width="12.796875" style="1" bestFit="1" customWidth="1"/>
    <col min="8" max="8" width="14.8984375" style="1" customWidth="1"/>
    <col min="9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176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 x14ac:dyDescent="0.35">
      <c r="H42" s="1">
        <f>SUMIFS(H2:H40, H2:H40,"&gt;20")</f>
        <v>1473.0000000000002</v>
      </c>
    </row>
  </sheetData>
  <conditionalFormatting sqref="A1:A1048576">
    <cfRule type="duplicateValues" dxfId="6" priority="10"/>
  </conditionalFormatting>
  <conditionalFormatting sqref="B1:B1048576">
    <cfRule type="duplicateValues" dxfId="5" priority="9"/>
  </conditionalFormatting>
  <conditionalFormatting sqref="A1">
    <cfRule type="colorScale" priority="8">
      <colorScale>
        <cfvo type="num" val="-1"/>
        <cfvo type="num" val="0"/>
        <color rgb="FFFF7128"/>
        <color rgb="FF00B050"/>
      </colorScale>
    </cfRule>
  </conditionalFormatting>
  <conditionalFormatting sqref="T4">
    <cfRule type="cellIs" dxfId="4" priority="5" operator="equal">
      <formula>-1</formula>
    </cfRule>
  </conditionalFormatting>
  <conditionalFormatting sqref="J1:W1048576">
    <cfRule type="cellIs" dxfId="3" priority="4" operator="equal">
      <formula>-1</formula>
    </cfRule>
  </conditionalFormatting>
  <conditionalFormatting sqref="J1:W1048576">
    <cfRule type="cellIs" dxfId="2" priority="3" operator="equal">
      <formula>0</formula>
    </cfRule>
  </conditionalFormatting>
  <conditionalFormatting sqref="A1:XFD1048576">
    <cfRule type="cellIs" dxfId="1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9.59765625" style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106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>
        <f>SUMIFS(H2:H40, H2:H40, "&gt;20")</f>
        <v>0</v>
      </c>
      <c r="E5" s="1">
        <v>10</v>
      </c>
    </row>
    <row r="6" spans="1:5" x14ac:dyDescent="0.35">
      <c r="A6" s="6">
        <v>4</v>
      </c>
      <c r="B6" s="2" t="s">
        <v>105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6" zoomScaleNormal="100" workbookViewId="0">
      <selection activeCell="F31" sqref="F31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163</v>
      </c>
    </row>
    <row r="2" spans="1:7" s="41" customFormat="1" ht="21" x14ac:dyDescent="0.5">
      <c r="B2" s="4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VLOOKUP(A6,Dataset!A2:G40,7,FALSE)</f>
        <v>2.7</v>
      </c>
      <c r="C6" s="12">
        <f>VLOOKUP(A6,Dataset!A2:H41,8,FALSE)</f>
        <v>3.6</v>
      </c>
      <c r="D6" s="12">
        <f>VLOOKUP(A6,Dataset!A2:R41,18,FALSE)</f>
        <v>4.2</v>
      </c>
      <c r="E6" s="12">
        <f>VLOOKUP(A6,Dataset!A2:T41,20,FALSE)</f>
        <v>8.9</v>
      </c>
      <c r="F6" s="8">
        <f>VLOOKUP(A6,Dataset!A2:V41,22,FALSE)</f>
        <v>4.2</v>
      </c>
    </row>
    <row r="7" spans="1:7" ht="14.5" x14ac:dyDescent="0.35">
      <c r="A7" s="7" t="s">
        <v>4</v>
      </c>
      <c r="B7" s="12">
        <f>VLOOKUP(A7,Dataset!A3:G41,7,FALSE)</f>
        <v>2.7</v>
      </c>
      <c r="C7" s="12">
        <f>VLOOKUP(A7,Dataset!A3:H42,8,FALSE)</f>
        <v>3.6</v>
      </c>
      <c r="D7" s="12">
        <f>VLOOKUP(A7,Dataset!A3:R42,18,FALSE)</f>
        <v>4.2</v>
      </c>
      <c r="E7" s="12">
        <f>VLOOKUP(A7,Dataset!A3:T42,20,FALSE)</f>
        <v>8.9</v>
      </c>
      <c r="F7" s="8">
        <f>VLOOKUP(A7,Dataset!A3:V42,22,FALSE)</f>
        <v>4.2</v>
      </c>
    </row>
    <row r="8" spans="1:7" ht="14.5" x14ac:dyDescent="0.35">
      <c r="A8" s="7" t="s">
        <v>7</v>
      </c>
      <c r="B8" s="12">
        <f>VLOOKUP(A8,Dataset!A4:G42,7,FALSE)</f>
        <v>3.6</v>
      </c>
      <c r="C8" s="12">
        <f>VLOOKUP(A8,Dataset!A4:H43,8,FALSE)</f>
        <v>5.4</v>
      </c>
      <c r="D8" s="12">
        <f>VLOOKUP(A8,Dataset!A4:R43,18,FALSE)</f>
        <v>5.8</v>
      </c>
      <c r="E8" s="12">
        <f>VLOOKUP(A8,Dataset!A4:T43,20,FALSE)</f>
        <v>12.2</v>
      </c>
      <c r="F8" s="8">
        <f>VLOOKUP(A8,Dataset!A4:V43,22,FALSE)</f>
        <v>5.8</v>
      </c>
    </row>
    <row r="9" spans="1:7" ht="14.5" x14ac:dyDescent="0.35">
      <c r="A9" s="7" t="s">
        <v>8</v>
      </c>
      <c r="B9" s="12">
        <f>VLOOKUP(A9,Dataset!A5:G43,7,FALSE)</f>
        <v>4.9000000000000004</v>
      </c>
      <c r="C9" s="12">
        <f>VLOOKUP(A9,Dataset!A5:H44,8,FALSE)</f>
        <v>6.6</v>
      </c>
      <c r="D9" s="12">
        <f>VLOOKUP(A9,Dataset!A5:R44,18,FALSE)</f>
        <v>8.1</v>
      </c>
      <c r="E9" s="12">
        <f>VLOOKUP(A9,Dataset!A5:T44,20,FALSE)</f>
        <v>17</v>
      </c>
      <c r="F9" s="8">
        <f>VLOOKUP(A9,Dataset!A5:V44,22,FALSE)</f>
        <v>8.1</v>
      </c>
    </row>
    <row r="10" spans="1:7" ht="14.5" x14ac:dyDescent="0.35">
      <c r="A10" s="7" t="s">
        <v>11</v>
      </c>
      <c r="B10" s="12">
        <f>VLOOKUP(A10,Dataset!A6:G44,7,FALSE)</f>
        <v>9.4</v>
      </c>
      <c r="C10" s="12">
        <f>VLOOKUP(A10,Dataset!A6:H45,8,FALSE)</f>
        <v>13.8</v>
      </c>
      <c r="D10" s="12">
        <f>VLOOKUP(A10,Dataset!A6:R45,18,FALSE)</f>
        <v>16.100000000000001</v>
      </c>
      <c r="E10" s="12">
        <f>VLOOKUP(A10,Dataset!A6:T45,20,FALSE)</f>
        <v>32.799999999999997</v>
      </c>
      <c r="F10" s="8">
        <f>VLOOKUP(A10,Dataset!A6:V45,22,FALSE)</f>
        <v>16.100000000000001</v>
      </c>
    </row>
    <row r="11" spans="1:7" ht="14.5" x14ac:dyDescent="0.35">
      <c r="A11" s="7" t="s">
        <v>12</v>
      </c>
      <c r="B11" s="12">
        <f>VLOOKUP(A11,Dataset!A7:G45,7,FALSE)</f>
        <v>11.6</v>
      </c>
      <c r="C11" s="12">
        <f>VLOOKUP(A11,Dataset!A7:H46,8,FALSE)</f>
        <v>17.3</v>
      </c>
      <c r="D11" s="12">
        <f>VLOOKUP(A11,Dataset!A7:R46,18,FALSE)</f>
        <v>21.3</v>
      </c>
      <c r="E11" s="12">
        <f>VLOOKUP(A11,Dataset!A7:T46,20,FALSE)</f>
        <v>43</v>
      </c>
      <c r="F11" s="8">
        <f>VLOOKUP(A11,Dataset!A7:V46,22,FALSE)</f>
        <v>21.3</v>
      </c>
    </row>
    <row r="12" spans="1:7" ht="14.5" x14ac:dyDescent="0.35">
      <c r="A12" s="7" t="s">
        <v>14</v>
      </c>
      <c r="B12" s="12">
        <f>VLOOKUP(A12,Dataset!A8:G46,7,FALSE)</f>
        <v>18.399999999999999</v>
      </c>
      <c r="C12" s="12">
        <f>VLOOKUP(A12,Dataset!A8:H47,8,FALSE)</f>
        <v>27.5</v>
      </c>
      <c r="D12" s="12">
        <f>VLOOKUP(A12,Dataset!A8:R47,18,FALSE)</f>
        <v>33.799999999999997</v>
      </c>
      <c r="E12" s="12">
        <f>VLOOKUP(A12,Dataset!A8:T47,20,FALSE)</f>
        <v>67.900000000000006</v>
      </c>
      <c r="F12" s="8">
        <f>VLOOKUP(A12,Dataset!A8:V47,22,FALSE)</f>
        <v>33.799999999999997</v>
      </c>
    </row>
    <row r="13" spans="1:7" ht="14.5" x14ac:dyDescent="0.35">
      <c r="A13" s="7" t="s">
        <v>15</v>
      </c>
      <c r="B13" s="12">
        <f>VLOOKUP(A13,Dataset!A9:G47,7,FALSE)</f>
        <v>0</v>
      </c>
      <c r="C13" s="12">
        <f>VLOOKUP(A13,Dataset!A9:H48,8,FALSE)</f>
        <v>0</v>
      </c>
      <c r="D13" s="12">
        <f>VLOOKUP(A13,Dataset!A9:R48,18,FALSE)</f>
        <v>0</v>
      </c>
      <c r="E13" s="12">
        <f>VLOOKUP(A13,Dataset!A9:T48,20,FALSE)</f>
        <v>0</v>
      </c>
      <c r="F13" s="8">
        <f>VLOOKUP(A13,Dataset!A9:V48,22,FALSE)</f>
        <v>0</v>
      </c>
    </row>
    <row r="14" spans="1:7" ht="14.5" x14ac:dyDescent="0.35">
      <c r="A14" s="7" t="s">
        <v>16</v>
      </c>
      <c r="B14" s="12">
        <f>VLOOKUP(A14,Dataset!A10:G48,7,FALSE)</f>
        <v>21.9</v>
      </c>
      <c r="C14" s="12">
        <f>VLOOKUP(A14,Dataset!A10:H49,8,FALSE)</f>
        <v>32.1</v>
      </c>
      <c r="D14" s="12">
        <f>VLOOKUP(A14,Dataset!A10:R49,18,FALSE)</f>
        <v>40.1</v>
      </c>
      <c r="E14" s="12">
        <f>VLOOKUP(A14,Dataset!A10:T49,20,FALSE)</f>
        <v>76.599999999999994</v>
      </c>
      <c r="F14" s="8">
        <f>VLOOKUP(A14,Dataset!A10:V49,22,FALSE)</f>
        <v>40.1</v>
      </c>
    </row>
    <row r="15" spans="1:7" ht="14.5" x14ac:dyDescent="0.35">
      <c r="A15" s="7" t="s">
        <v>18</v>
      </c>
      <c r="B15" s="12">
        <f>VLOOKUP(A15,Dataset!A11:G49,7,FALSE)</f>
        <v>26.8</v>
      </c>
      <c r="C15" s="12">
        <f>VLOOKUP(A15,Dataset!A11:H50,8,FALSE)</f>
        <v>39.299999999999997</v>
      </c>
      <c r="D15" s="12">
        <f>VLOOKUP(A15,Dataset!A11:R50,18,FALSE)</f>
        <v>47.9</v>
      </c>
      <c r="E15" s="12">
        <f>VLOOKUP(A15,Dataset!A11:T50,20,FALSE)</f>
        <v>96.8</v>
      </c>
      <c r="F15" s="8">
        <f>VLOOKUP(A15,Dataset!A11:V50,22,FALSE)</f>
        <v>47.9</v>
      </c>
    </row>
    <row r="16" spans="1:7" ht="14.5" x14ac:dyDescent="0.35">
      <c r="A16" s="7" t="s">
        <v>20</v>
      </c>
      <c r="B16" s="12">
        <f>VLOOKUP(A16,Dataset!A12:G50,7,FALSE)</f>
        <v>28.5</v>
      </c>
      <c r="C16" s="12">
        <f>VLOOKUP(A16,Dataset!A12:H51,8,FALSE)</f>
        <v>42.3</v>
      </c>
      <c r="D16" s="12">
        <f>VLOOKUP(A16,Dataset!A12:R51,18,FALSE)</f>
        <v>52.3</v>
      </c>
      <c r="E16" s="12">
        <f>VLOOKUP(A16,Dataset!A12:T51,20,FALSE)</f>
        <v>106.1</v>
      </c>
      <c r="F16" s="8">
        <f>VLOOKUP(A16,Dataset!A12:V51,22,FALSE)</f>
        <v>52.3</v>
      </c>
    </row>
    <row r="17" spans="1:6" ht="14.5" x14ac:dyDescent="0.35">
      <c r="A17" s="7" t="s">
        <v>22</v>
      </c>
      <c r="B17" s="12">
        <f>VLOOKUP(A17,Dataset!A13:G51,7,FALSE)</f>
        <v>30.7</v>
      </c>
      <c r="C17" s="12">
        <f>VLOOKUP(A17,Dataset!A13:H52,8,FALSE)</f>
        <v>45.5</v>
      </c>
      <c r="D17" s="12">
        <f>VLOOKUP(A17,Dataset!A13:R52,18,FALSE)</f>
        <v>57</v>
      </c>
      <c r="E17" s="12">
        <f>VLOOKUP(A17,Dataset!A13:T52,20,FALSE)</f>
        <v>115.1</v>
      </c>
      <c r="F17" s="8">
        <f>VLOOKUP(A17,Dataset!A13:V52,22,FALSE)</f>
        <v>57</v>
      </c>
    </row>
    <row r="18" spans="1:6" ht="14.5" x14ac:dyDescent="0.35">
      <c r="A18" s="7" t="s">
        <v>23</v>
      </c>
      <c r="B18" s="12">
        <f>VLOOKUP(A18,Dataset!A14:G52,7,FALSE)</f>
        <v>33.799999999999997</v>
      </c>
      <c r="C18" s="12">
        <f>VLOOKUP(A18,Dataset!A14:H53,8,FALSE)</f>
        <v>50.1</v>
      </c>
      <c r="D18" s="12">
        <f>VLOOKUP(A18,Dataset!A14:R53,18,FALSE)</f>
        <v>61.4</v>
      </c>
      <c r="E18" s="12">
        <f>VLOOKUP(A18,Dataset!A14:T53,20,FALSE)</f>
        <v>124.4</v>
      </c>
      <c r="F18" s="8">
        <f>VLOOKUP(A18,Dataset!A14:V53,22,FALSE)</f>
        <v>61.4</v>
      </c>
    </row>
    <row r="19" spans="1:6" ht="14.5" x14ac:dyDescent="0.35">
      <c r="A19" s="7" t="s">
        <v>24</v>
      </c>
      <c r="B19" s="12">
        <f>VLOOKUP(A19,Dataset!A15:G53,7,FALSE)</f>
        <v>34.700000000000003</v>
      </c>
      <c r="C19" s="12">
        <f>VLOOKUP(A19,Dataset!A15:H54,8,FALSE)</f>
        <v>52.3</v>
      </c>
      <c r="D19" s="12">
        <f>VLOOKUP(A19,Dataset!A15:R54,18,FALSE)</f>
        <v>63.6</v>
      </c>
      <c r="E19" s="12">
        <f>VLOOKUP(A19,Dataset!A15:T54,20,FALSE)</f>
        <v>128.6</v>
      </c>
      <c r="F19" s="8">
        <f>VLOOKUP(A19,Dataset!A15:V54,22,FALSE)</f>
        <v>63.6</v>
      </c>
    </row>
    <row r="20" spans="1:6" ht="14.5" x14ac:dyDescent="0.35">
      <c r="A20" s="7" t="s">
        <v>28</v>
      </c>
      <c r="B20" s="12">
        <f>VLOOKUP(A20,Dataset!A16:G54,7,FALSE)</f>
        <v>0</v>
      </c>
      <c r="C20" s="12">
        <f>VLOOKUP(A20,Dataset!A16:H55,8,FALSE)</f>
        <v>0</v>
      </c>
      <c r="D20" s="12">
        <f>VLOOKUP(A20,Dataset!A16:R55,18,FALSE)</f>
        <v>0</v>
      </c>
      <c r="E20" s="12">
        <f>VLOOKUP(A20,Dataset!A16:T55,20,FALSE)</f>
        <v>0</v>
      </c>
      <c r="F20" s="8">
        <f>VLOOKUP(A20,Dataset!A16:V55,22,FALSE)</f>
        <v>0</v>
      </c>
    </row>
    <row r="21" spans="1:6" ht="14.5" x14ac:dyDescent="0.35">
      <c r="A21" s="7" t="s">
        <v>57</v>
      </c>
      <c r="B21" s="12">
        <f>VLOOKUP(A21,Dataset!A17:G55,7,FALSE)</f>
        <v>41.3</v>
      </c>
      <c r="C21" s="12">
        <f>VLOOKUP(A21,Dataset!A17:H56,8,FALSE)</f>
        <v>61.4</v>
      </c>
      <c r="D21" s="12">
        <f>VLOOKUP(A21,Dataset!A17:R56,18,FALSE)</f>
        <v>75</v>
      </c>
      <c r="E21" s="12">
        <f>VLOOKUP(A21,Dataset!A17:T56,20,FALSE)</f>
        <v>151.5</v>
      </c>
      <c r="F21" s="8">
        <f>VLOOKUP(A21,Dataset!A17:V56,22,FALSE)</f>
        <v>75</v>
      </c>
    </row>
    <row r="22" spans="1:6" ht="14.5" x14ac:dyDescent="0.35">
      <c r="A22" s="7" t="s">
        <v>58</v>
      </c>
      <c r="B22" s="12">
        <f>VLOOKUP(A22,Dataset!A18:G56,7,FALSE)</f>
        <v>-1</v>
      </c>
      <c r="C22" s="12">
        <f>VLOOKUP(A22,Dataset!A18:H57,8,FALSE)</f>
        <v>-1</v>
      </c>
      <c r="D22" s="12">
        <f>VLOOKUP(A22,Dataset!A18:R57,18,FALSE)</f>
        <v>-1</v>
      </c>
      <c r="E22" s="12">
        <f>VLOOKUP(A22,Dataset!A18:T57,20,FALSE)</f>
        <v>-1</v>
      </c>
      <c r="F22" s="8">
        <f>VLOOKUP(A22,Dataset!A18:V57,22,FALSE)</f>
        <v>-1</v>
      </c>
    </row>
    <row r="23" spans="1:6" ht="14.5" x14ac:dyDescent="0.35">
      <c r="A23" s="7" t="s">
        <v>31</v>
      </c>
      <c r="B23" s="12">
        <f>VLOOKUP(A23,Dataset!A19:G57,7,FALSE)</f>
        <v>45</v>
      </c>
      <c r="C23" s="12">
        <f>VLOOKUP(A23,Dataset!A19:H58,8,FALSE)</f>
        <v>65.900000000000006</v>
      </c>
      <c r="D23" s="12">
        <f>VLOOKUP(A23,Dataset!A19:R58,18,FALSE)</f>
        <v>79.400000000000006</v>
      </c>
      <c r="E23" s="12">
        <f>VLOOKUP(A23,Dataset!A19:T58,20,FALSE)</f>
        <v>160.9</v>
      </c>
      <c r="F23" s="8">
        <f>VLOOKUP(A23,Dataset!A19:V58,22,FALSE)</f>
        <v>79.400000000000006</v>
      </c>
    </row>
    <row r="24" spans="1:6" ht="14.5" x14ac:dyDescent="0.35">
      <c r="A24" s="7" t="s">
        <v>32</v>
      </c>
      <c r="B24" s="12">
        <f>VLOOKUP(A24,Dataset!A20:G58,7,FALSE)</f>
        <v>-1</v>
      </c>
      <c r="C24" s="12">
        <f>VLOOKUP(A24,Dataset!A20:H59,8,FALSE)</f>
        <v>-1</v>
      </c>
      <c r="D24" s="12">
        <f>VLOOKUP(A24,Dataset!A20:R59,18,FALSE)</f>
        <v>-1</v>
      </c>
      <c r="E24" s="12">
        <f>VLOOKUP(A24,Dataset!A20:T59,20,FALSE)</f>
        <v>-1</v>
      </c>
      <c r="F24" s="8">
        <f>VLOOKUP(A24,Dataset!A20:V59,22,FALSE)</f>
        <v>-1</v>
      </c>
    </row>
    <row r="25" spans="1:6" ht="14.5" x14ac:dyDescent="0.35">
      <c r="A25" s="7" t="s">
        <v>34</v>
      </c>
      <c r="B25" s="12">
        <f>VLOOKUP(A25,Dataset!A21:G59,7,FALSE)</f>
        <v>43.3</v>
      </c>
      <c r="C25" s="12">
        <f>VLOOKUP(A25,Dataset!A21:H60,8,FALSE)</f>
        <v>63.6</v>
      </c>
      <c r="D25" s="12">
        <f>VLOOKUP(A25,Dataset!A21:R60,18,FALSE)</f>
        <v>79.400000000000006</v>
      </c>
      <c r="E25" s="12">
        <f>VLOOKUP(A25,Dataset!A21:T60,20,FALSE)</f>
        <v>160.9</v>
      </c>
      <c r="F25" s="8">
        <f>VLOOKUP(A25,Dataset!A21:V60,22,FALSE)</f>
        <v>79.400000000000006</v>
      </c>
    </row>
    <row r="26" spans="1:6" ht="14.5" x14ac:dyDescent="0.35">
      <c r="A26" s="7" t="s">
        <v>37</v>
      </c>
      <c r="B26" s="12">
        <f>VLOOKUP(A26,Dataset!A22:G60,7,FALSE)</f>
        <v>49.1</v>
      </c>
      <c r="C26" s="12">
        <f>VLOOKUP(A26,Dataset!A22:H61,8,FALSE)</f>
        <v>72.8</v>
      </c>
      <c r="D26" s="12">
        <f>VLOOKUP(A26,Dataset!A22:R61,18,FALSE)</f>
        <v>90.9</v>
      </c>
      <c r="E26" s="12">
        <f>VLOOKUP(A26,Dataset!A22:T61,20,FALSE)</f>
        <v>183.5</v>
      </c>
      <c r="F26" s="8">
        <f>VLOOKUP(A26,Dataset!A22:V61,22,FALSE)</f>
        <v>90.9</v>
      </c>
    </row>
    <row r="27" spans="1:6" ht="14.5" x14ac:dyDescent="0.35">
      <c r="A27" s="7" t="s">
        <v>39</v>
      </c>
      <c r="B27" s="12">
        <f>VLOOKUP(A27,Dataset!A23:G61,7,FALSE)</f>
        <v>51.8</v>
      </c>
      <c r="C27" s="12">
        <f>VLOOKUP(A27,Dataset!A23:H62,8,FALSE)</f>
        <v>77.2</v>
      </c>
      <c r="D27" s="12">
        <f>VLOOKUP(A27,Dataset!A23:R62,18,FALSE)</f>
        <v>93.1</v>
      </c>
      <c r="E27" s="12">
        <f>VLOOKUP(A27,Dataset!A23:T62,20,FALSE)</f>
        <v>188.1</v>
      </c>
      <c r="F27" s="8">
        <f>VLOOKUP(A27,Dataset!A23:V62,22,FALSE)</f>
        <v>93.1</v>
      </c>
    </row>
    <row r="28" spans="1:6" ht="14.5" x14ac:dyDescent="0.35">
      <c r="A28" s="19" t="s">
        <v>82</v>
      </c>
      <c r="B28" s="12">
        <f>MIN(B6,B27)</f>
        <v>2.7</v>
      </c>
      <c r="C28" s="12">
        <f>MIN(C6,C27)</f>
        <v>3.6</v>
      </c>
      <c r="D28" s="12">
        <f>MIN(D6,D27)</f>
        <v>4.2</v>
      </c>
      <c r="E28" s="12">
        <f>MIN(E6,E27)</f>
        <v>8.9</v>
      </c>
      <c r="F28" s="8">
        <f>MIN(F6,F27)</f>
        <v>4.2</v>
      </c>
    </row>
    <row r="29" spans="1:6" ht="14.5" x14ac:dyDescent="0.35">
      <c r="A29" s="19" t="s">
        <v>83</v>
      </c>
      <c r="B29" s="12">
        <f>MAX(B6,B27)</f>
        <v>51.8</v>
      </c>
      <c r="C29" s="12">
        <f>MAX(C6,C27)</f>
        <v>77.2</v>
      </c>
      <c r="D29" s="12">
        <f>MAX(D6,D27)</f>
        <v>93.1</v>
      </c>
      <c r="E29" s="12">
        <f>MAX(E6,E27)</f>
        <v>188.1</v>
      </c>
      <c r="F29" s="8">
        <f>MAX(F6,F27)</f>
        <v>93.1</v>
      </c>
    </row>
    <row r="30" spans="1:6" ht="14.5" x14ac:dyDescent="0.35">
      <c r="A30" s="19" t="s">
        <v>84</v>
      </c>
      <c r="B30" s="12">
        <f>AVERAGE(B6:B27)</f>
        <v>20.827272727272728</v>
      </c>
      <c r="C30" s="31">
        <f>AVERAGE(C6:C27)</f>
        <v>30.831818181818186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9" zoomScaleNormal="100" workbookViewId="0">
      <selection activeCell="E7" sqref="E7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3" t="s">
        <v>53</v>
      </c>
      <c r="B5" s="40" t="s">
        <v>177</v>
      </c>
    </row>
    <row r="6" spans="1:10" ht="18.5" x14ac:dyDescent="0.45">
      <c r="A6" s="43" t="s">
        <v>152</v>
      </c>
      <c r="B6" s="40" t="s">
        <v>178</v>
      </c>
    </row>
    <row r="7" spans="1:10" ht="18.5" x14ac:dyDescent="0.45">
      <c r="A7" s="43"/>
      <c r="B7" s="40"/>
    </row>
    <row r="9" spans="1:10" ht="23.5" x14ac:dyDescent="0.55000000000000004">
      <c r="A9" s="18" t="s">
        <v>164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161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3"/>
  <sheetViews>
    <sheetView tabSelected="1" topLeftCell="A10" zoomScaleNormal="100" workbookViewId="0">
      <selection activeCell="D10" sqref="D10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166</v>
      </c>
    </row>
    <row r="2" spans="1:3" ht="18.5" x14ac:dyDescent="0.45">
      <c r="B2" s="40" t="s">
        <v>165</v>
      </c>
    </row>
    <row r="5" spans="1:3" ht="14.5" x14ac:dyDescent="0.35">
      <c r="B5" s="1" t="s">
        <v>150</v>
      </c>
    </row>
    <row r="6" spans="1:3" ht="15.5" x14ac:dyDescent="0.35">
      <c r="A6" s="3" t="s">
        <v>53</v>
      </c>
      <c r="B6" s="48" t="s">
        <v>184</v>
      </c>
      <c r="C6" s="49"/>
    </row>
    <row r="7" spans="1:3" ht="14.5" x14ac:dyDescent="0.35">
      <c r="A7" s="3" t="s">
        <v>152</v>
      </c>
      <c r="B7" s="50" t="s">
        <v>185</v>
      </c>
      <c r="C7" s="49"/>
    </row>
    <row r="8" spans="1:3" ht="14" x14ac:dyDescent="0.3">
      <c r="B8" s="50" t="s">
        <v>186</v>
      </c>
      <c r="C8" s="49"/>
    </row>
    <row r="9" spans="1:3" ht="14" x14ac:dyDescent="0.3">
      <c r="B9" s="50" t="s">
        <v>187</v>
      </c>
      <c r="C9" s="49"/>
    </row>
    <row r="10" spans="1:3" ht="23.5" x14ac:dyDescent="0.55000000000000004">
      <c r="A10" s="18" t="s">
        <v>161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 t="e">
        <v>#N/A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 t="e">
        <v>#N/A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153</v>
      </c>
      <c r="C17" s="17">
        <v>150</v>
      </c>
    </row>
    <row r="18" spans="1:3" ht="14.5" x14ac:dyDescent="0.35">
      <c r="A18" s="32">
        <v>44933</v>
      </c>
      <c r="B18" s="17" t="s">
        <v>154</v>
      </c>
      <c r="C18" s="17">
        <v>80</v>
      </c>
    </row>
    <row r="19" spans="1:3" ht="14.5" x14ac:dyDescent="0.35">
      <c r="A19" s="32">
        <v>44934</v>
      </c>
      <c r="B19" s="17" t="s">
        <v>155</v>
      </c>
      <c r="C19" s="17" t="e">
        <v>#N/A</v>
      </c>
    </row>
    <row r="20" spans="1:3" ht="14.5" x14ac:dyDescent="0.35">
      <c r="A20" s="32">
        <v>44935</v>
      </c>
      <c r="B20" s="17" t="s">
        <v>156</v>
      </c>
      <c r="C20" s="17">
        <v>30</v>
      </c>
    </row>
    <row r="21" spans="1:3" ht="14.5" x14ac:dyDescent="0.35">
      <c r="A21" s="32">
        <v>44936</v>
      </c>
      <c r="B21" s="17" t="s">
        <v>157</v>
      </c>
      <c r="C21" s="17" t="e">
        <v>#N/A</v>
      </c>
    </row>
    <row r="22" spans="1:3" ht="14.5" x14ac:dyDescent="0.35">
      <c r="B22" s="17" t="s">
        <v>158</v>
      </c>
      <c r="C22" s="25" t="e">
        <f>SUM(IF(ISNA(C12:C21),20,C12:C21))</f>
        <v>#N/A</v>
      </c>
    </row>
    <row r="23" spans="1:3" x14ac:dyDescent="0.3">
      <c r="C23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25" zoomScaleNormal="100" workbookViewId="0">
      <selection activeCell="C35" sqref="C35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174</v>
      </c>
    </row>
    <row r="3" spans="1:14" ht="14.5" x14ac:dyDescent="0.35">
      <c r="B3" s="1" t="s">
        <v>150</v>
      </c>
    </row>
    <row r="4" spans="1:14" ht="18.5" x14ac:dyDescent="0.45">
      <c r="A4" s="43" t="s">
        <v>53</v>
      </c>
      <c r="B4" s="1"/>
      <c r="C4" s="2" t="s">
        <v>179</v>
      </c>
    </row>
    <row r="5" spans="1:14" ht="18.5" x14ac:dyDescent="0.45">
      <c r="A5" s="43" t="s">
        <v>152</v>
      </c>
      <c r="B5" s="47" t="s">
        <v>180</v>
      </c>
    </row>
    <row r="6" spans="1:14" ht="14.5" x14ac:dyDescent="0.35">
      <c r="A6" s="3"/>
      <c r="B6" s="47" t="s">
        <v>181</v>
      </c>
    </row>
    <row r="7" spans="1:14" x14ac:dyDescent="0.3">
      <c r="B7" s="47" t="s">
        <v>182</v>
      </c>
    </row>
    <row r="8" spans="1:14" ht="23.5" x14ac:dyDescent="0.55000000000000004">
      <c r="A8" s="18" t="s">
        <v>161</v>
      </c>
      <c r="B8" s="47" t="s">
        <v>183</v>
      </c>
      <c r="M8" s="18" t="s">
        <v>162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 t="e">
        <f>INDEX(Table_A, MATCH(INDEX(Table_C, ROW(), 1), Table_A, 0), MATCH(INDEX(Table_C, ROW(), 2), Table_A, 0))</f>
        <v>#NAME?</v>
      </c>
    </row>
    <row r="24" spans="1:14" ht="14.5" x14ac:dyDescent="0.35">
      <c r="A24" s="7">
        <v>10100</v>
      </c>
      <c r="B24" s="12">
        <v>10104</v>
      </c>
      <c r="C24" s="44" t="e">
        <f>INDEX(Table_A, MATCH(INDEX(Table_C, ROW(), 1), Table_A, 0), MATCH(INDEX(Table_C, ROW(), 2), Table_A, 0))</f>
        <v>#NAME?</v>
      </c>
    </row>
    <row r="25" spans="1:14" ht="14.5" x14ac:dyDescent="0.35">
      <c r="A25" s="7">
        <v>10108</v>
      </c>
      <c r="B25" s="12">
        <v>10102</v>
      </c>
      <c r="C25" s="44" t="e">
        <f>INDEX(Table_A, MATCH(INDEX(Table_C, ROW(), 1), Table_A, 0), MATCH(INDEX(Table_C, ROW(), 2), Table_A, 0))</f>
        <v>#NAME?</v>
      </c>
    </row>
    <row r="26" spans="1:14" ht="14.5" x14ac:dyDescent="0.35">
      <c r="A26" s="7">
        <v>10100</v>
      </c>
      <c r="B26" s="12">
        <v>10106</v>
      </c>
      <c r="C26" s="44" t="e">
        <f>INDEX(Table_A, MATCH(INDEX(Table_C, ROW(), 1), Table_A, 0), MATCH(INDEX(Table_C, ROW(), 2), Table_A, 0))</f>
        <v>#NAME?</v>
      </c>
    </row>
    <row r="27" spans="1:14" ht="14.5" x14ac:dyDescent="0.35">
      <c r="A27" s="7">
        <v>10108</v>
      </c>
      <c r="B27" s="12">
        <v>10110</v>
      </c>
      <c r="C27" s="44" t="e">
        <f>INDEX(Table_A, MATCH(INDEX(Table_C, ROW(), 1), Table_A, 0), MATCH(INDEX(Table_C, ROW(), 2), Table_A, 0))</f>
        <v>#NAME?</v>
      </c>
    </row>
    <row r="28" spans="1:14" ht="14.5" x14ac:dyDescent="0.35">
      <c r="A28" s="7">
        <v>10102</v>
      </c>
      <c r="B28" s="12">
        <v>10104</v>
      </c>
      <c r="C28" s="44" t="e">
        <f>INDEX(Table_A, MATCH(INDEX(Table_C, ROW(), 1), Table_A, 0), MATCH(INDEX(Table_C, ROW(), 2), Table_A, 0))</f>
        <v>#NAME?</v>
      </c>
    </row>
    <row r="29" spans="1:14" ht="14.5" x14ac:dyDescent="0.35">
      <c r="A29" s="7">
        <v>10106</v>
      </c>
      <c r="B29" s="12">
        <v>10108</v>
      </c>
      <c r="C29" s="44" t="e">
        <f>INDEX(Table_A, MATCH(INDEX(Table_C, ROW(), 1), Table_A, 0), MATCH(INDEX(Table_C, ROW(), 2), Table_A, 0))</f>
        <v>#NAME?</v>
      </c>
    </row>
    <row r="30" spans="1:14" ht="14.5" x14ac:dyDescent="0.35">
      <c r="A30" s="7">
        <v>10102</v>
      </c>
      <c r="B30" s="12">
        <v>10106</v>
      </c>
      <c r="C30" s="44" t="e">
        <f>INDEX(Table_A, MATCH(INDEX(Table_C, ROW(), 1), Table_A, 0), MATCH(INDEX(Table_C, ROW(), 2), Table_A, 0))</f>
        <v>#NAME?</v>
      </c>
    </row>
    <row r="31" spans="1:14" ht="14.5" x14ac:dyDescent="0.35">
      <c r="A31" s="7">
        <v>10110</v>
      </c>
      <c r="B31" s="12">
        <v>10114</v>
      </c>
      <c r="C31" s="44" t="e">
        <f>INDEX(Table_A, MATCH(INDEX(Table_C, ROW(), 1), Table_A, 0), MATCH(INDEX(Table_C, ROW(), 2), Table_A, 0))</f>
        <v>#NAME?</v>
      </c>
    </row>
    <row r="32" spans="1:14" ht="14.5" x14ac:dyDescent="0.35">
      <c r="A32" s="7">
        <v>10104</v>
      </c>
      <c r="B32" s="12">
        <v>10106</v>
      </c>
      <c r="C32" s="44" t="e">
        <f>INDEX(Table_A, MATCH(INDEX(Table_C, ROW(), 1), Table_A, 0), MATCH(INDEX(Table_C, ROW(), 2), Table_A, 0))</f>
        <v>#NAME?</v>
      </c>
    </row>
    <row r="33" spans="1:3" ht="14.5" x14ac:dyDescent="0.35">
      <c r="A33" s="7">
        <v>10110</v>
      </c>
      <c r="B33" s="12">
        <v>10112</v>
      </c>
      <c r="C33" s="44" t="e">
        <f>INDEX(Table_A, MATCH(INDEX(Table_C, ROW(), 1), Table_A, 0), MATCH(INDEX(Table_C, ROW(), 2), Table_A, 0))</f>
        <v>#NAME?</v>
      </c>
    </row>
    <row r="34" spans="1:3" ht="14.5" x14ac:dyDescent="0.35">
      <c r="A34" s="7">
        <v>10100</v>
      </c>
      <c r="B34" s="12">
        <v>10114</v>
      </c>
      <c r="C34" s="44" t="e">
        <f>INDEX(Table_A, MATCH(INDEX(Table_C, ROW(), 1), Table_A, 0), MATCH(INDEX(Table_C, ROW(), 2), Table_A, 0))</f>
        <v>#NAME?</v>
      </c>
    </row>
    <row r="35" spans="1:3" ht="14.5" x14ac:dyDescent="0.35">
      <c r="A35" s="9">
        <v>10112</v>
      </c>
      <c r="B35" s="13">
        <v>10116</v>
      </c>
      <c r="C35" s="44" t="e">
        <f>INDEX(Table_A, MATCH(INDEX(Table_C, ROW(), 1), Table_A, 0), MATCH(INDEX(Table_C, ROW(), 2), Table_A, 0))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Rohan Tekale</cp:lastModifiedBy>
  <dcterms:created xsi:type="dcterms:W3CDTF">2015-02-10T17:33:11Z</dcterms:created>
  <dcterms:modified xsi:type="dcterms:W3CDTF">2023-12-12T07:37:02Z</dcterms:modified>
</cp:coreProperties>
</file>